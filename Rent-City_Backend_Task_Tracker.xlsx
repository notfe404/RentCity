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2D31101-EC98-4575-A596-9F255FCC44B7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Task Tracker" sheetId="1" r:id="rId1"/>
    <sheet name="Theo thành viên" sheetId="2" r:id="rId2"/>
    <sheet name="Timeline 4 tuần" sheetId="3" r:id="rId3"/>
    <sheet name="Ghi chú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<sst xmlns="http://schemas.openxmlformats.org/spreadsheetml/2006/main" count="395" uniqueCount="216">
  <si>
    <t>RENT-CITY BACKEND — TASK TRACKER</t>
  </si>
  <si>
    <t>Spring Boot + MySQL  |  5 members  |  31 functions  |  6 modules</t>
  </si>
  <si>
    <t>#</t>
  </si>
  <si>
    <t>Module</t>
  </si>
  <si>
    <t>Mã CN</t>
  </si>
  <si>
    <t>Tên chức năng</t>
  </si>
  <si>
    <t>Mô tả ngắn</t>
  </si>
  <si>
    <t>Phụ trách</t>
  </si>
  <si>
    <t>Độ khó</t>
  </si>
  <si>
    <t>Ưu tiên</t>
  </si>
  <si>
    <t>Deadline (tuần)</t>
  </si>
  <si>
    <t>Trạng thái</t>
  </si>
  <si>
    <t>Module A</t>
  </si>
  <si>
    <t>A1</t>
  </si>
  <si>
    <t>Đăng ký tài khoản</t>
  </si>
  <si>
    <t>POST /auth/register — validate email, hash password (BCrypt), gán role CUSTOMER</t>
  </si>
  <si>
    <t>Member 2</t>
  </si>
  <si>
    <t>Trung bình</t>
  </si>
  <si>
    <t>Cao</t>
  </si>
  <si>
    <t>Tuần 2</t>
  </si>
  <si>
    <t>Chưa làm</t>
  </si>
  <si>
    <t>A2</t>
  </si>
  <si>
    <t>Đăng nhập + JWT + Security</t>
  </si>
  <si>
    <t>POST /auth/login + JWT filter + role-based (CUSTOMER/STAFF/ADMIN). Phải xong sớm vì module khác cần</t>
  </si>
  <si>
    <t>Khó</t>
  </si>
  <si>
    <t>Tuần 1</t>
  </si>
  <si>
    <t>A3</t>
  </si>
  <si>
    <t>Đăng xuất</t>
  </si>
  <si>
    <t>POST /auth/logout — blacklist token (Redis hoặc DB)</t>
  </si>
  <si>
    <t>Dễ</t>
  </si>
  <si>
    <t>A4</t>
  </si>
  <si>
    <t>Xem/cập nhật profile</t>
  </si>
  <si>
    <t>GET /users/me, PUT /users/me — đổi tên, SĐT, avatar</t>
  </si>
  <si>
    <t>A5</t>
  </si>
  <si>
    <t>Đổi mật khẩu</t>
  </si>
  <si>
    <t>PUT /users/me/password — verify old password trước khi đổi</t>
  </si>
  <si>
    <t>Thấp</t>
  </si>
  <si>
    <t>Module B</t>
  </si>
  <si>
    <t>B1</t>
  </si>
  <si>
    <t>CRUD xe (Admin)</t>
  </si>
  <si>
    <t>POST/PUT/DELETE /cars — admin thêm/sửa/xóa xe</t>
  </si>
  <si>
    <t>Member 3</t>
  </si>
  <si>
    <t>B2</t>
  </si>
  <si>
    <t>CRUD chi nhánh</t>
  </si>
  <si>
    <t>POST/PUT/DELETE /branches — quản lý branch</t>
  </si>
  <si>
    <t>B3</t>
  </si>
  <si>
    <t>Search xe có điều kiện</t>
  </si>
  <si>
    <t>GET /cars/search — filter theo branch/loại/giá, JPA Specification</t>
  </si>
  <si>
    <t>B4</t>
  </si>
  <si>
    <t>Check xe available theo ngày</t>
  </si>
  <si>
    <t>GET /cars/available?from=&amp;to= — loại xe đang có booking ACTIVE</t>
  </si>
  <si>
    <t>B5</t>
  </si>
  <si>
    <t>Pagination + Sort</t>
  </si>
  <si>
    <t>Page/Pageable cho danh sách xe, sort theo giá/rating</t>
  </si>
  <si>
    <t>B6</t>
  </si>
  <si>
    <t>Upload ảnh xe</t>
  </si>
  <si>
    <t>POST /cars/{id}/image — multipart, lưu local hoặc S3</t>
  </si>
  <si>
    <t>Tuần 3</t>
  </si>
  <si>
    <t>Module C</t>
  </si>
  <si>
    <t>C1</t>
  </si>
  <si>
    <t>Tạo booking</t>
  </si>
  <si>
    <t>POST /bookings — validate input, check user/car tồn tại</t>
  </si>
  <si>
    <t>C2</t>
  </si>
  <si>
    <t>Check trùng lịch (SQL overlap)</t>
  </si>
  <si>
    <t>WHERE start&lt;:end AND end&gt;:start — đảm bảo không double-booking</t>
  </si>
  <si>
    <t>C3</t>
  </si>
  <si>
    <t>Pessimistic Lock (FOR UPDATE)</t>
  </si>
  <si>
    <t>@Lock(LockModeType.PESSIMISTIC_WRITE) khi tạo booking</t>
  </si>
  <si>
    <t>C4</t>
  </si>
  <si>
    <t>Auto-cancel sau 15p</t>
  </si>
  <si>
    <t>@Scheduled job hủy PENDING_PAYMENT booking quá 15 phút</t>
  </si>
  <si>
    <t>C5</t>
  </si>
  <si>
    <t>State Machine</t>
  </si>
  <si>
    <t>PENDING → CONFIRMED → ONGOING → COMPLETED/CANCELLED, validate transition</t>
  </si>
  <si>
    <t>C6</t>
  </si>
  <si>
    <t>List booking của user</t>
  </si>
  <si>
    <t>GET /bookings/me — pagination, filter theo status</t>
  </si>
  <si>
    <t>C7</t>
  </si>
  <si>
    <t>Admin xem all booking</t>
  </si>
  <si>
    <t>GET /admin/bookings — filter theo user/status/date range</t>
  </si>
  <si>
    <t>Tuần 4</t>
  </si>
  <si>
    <t>Module D</t>
  </si>
  <si>
    <t>D1</t>
  </si>
  <si>
    <t>Tạo payment cho booking</t>
  </si>
  <si>
    <t>POST /payments — gắn vào booking, trạng thái PENDING</t>
  </si>
  <si>
    <t>Member 4</t>
  </si>
  <si>
    <t>D2</t>
  </si>
  <si>
    <t>Mock payment gateway</t>
  </si>
  <si>
    <t>Giả lập VNPay/Momo callback, update booking → CONFIRMED</t>
  </si>
  <si>
    <t>D3</t>
  </si>
  <si>
    <t>Xuất hóa đơn PDF</t>
  </si>
  <si>
    <t>GET /invoices/{id}/pdf — dùng iText hoặc Apache PDFBox</t>
  </si>
  <si>
    <t>D4</t>
  </si>
  <si>
    <t>Refund khi cancel</t>
  </si>
  <si>
    <t>POST /payments/{id}/refund — chỉ refund nếu cancel trước 24h</t>
  </si>
  <si>
    <t>D5</t>
  </si>
  <si>
    <t>Lịch sử thanh toán</t>
  </si>
  <si>
    <t>GET /payments/me — xem các payment đã làm</t>
  </si>
  <si>
    <t>Module E</t>
  </si>
  <si>
    <t>E1</t>
  </si>
  <si>
    <t>Staff check-in xe</t>
  </si>
  <si>
    <t>POST /bookings/{id}/checkin — booking CONFIRMED → ONGOING</t>
  </si>
  <si>
    <t>Member 5</t>
  </si>
  <si>
    <t>E2</t>
  </si>
  <si>
    <t>Staff check-out xe</t>
  </si>
  <si>
    <t>POST /bookings/{id}/checkout — ONGOING → COMPLETED, ghi tình trạng</t>
  </si>
  <si>
    <t>E3</t>
  </si>
  <si>
    <t>Ghi chú tình trạng xe</t>
  </si>
  <si>
    <t>Lưu mô tả + ảnh khi check-in/out để tránh tranh chấp</t>
  </si>
  <si>
    <t>E4</t>
  </si>
  <si>
    <t>Tính phí phụ trội</t>
  </si>
  <si>
    <t>Phí trả muộn, phí hỏng hóc — cộng vào invoice</t>
  </si>
  <si>
    <t>Module F</t>
  </si>
  <si>
    <t>F1</t>
  </si>
  <si>
    <t>Customer viết review</t>
  </si>
  <si>
    <t>POST /reviews — chỉ sau khi booking COMPLETED, 1 review/booking</t>
  </si>
  <si>
    <t>F2</t>
  </si>
  <si>
    <t>List review theo xe</t>
  </si>
  <si>
    <t>GET /cars/{id}/reviews — pagination + rating trung bình</t>
  </si>
  <si>
    <t>F3</t>
  </si>
  <si>
    <t>Dashboard admin</t>
  </si>
  <si>
    <t>GROUP BY tháng — tổng booking/doanh thu/xe hot</t>
  </si>
  <si>
    <t>F4</t>
  </si>
  <si>
    <t>Export báo cáo Excel</t>
  </si>
  <si>
    <t>GET /admin/reports/export — Apache POI sinh file .xlsx</t>
  </si>
  <si>
    <t>THỐNG KÊ CÔNG VIỆC THEO THÀNH VIÊN</t>
  </si>
  <si>
    <t>Thành viên</t>
  </si>
  <si>
    <t>Module phụ trách</t>
  </si>
  <si>
    <t>Số chức năng</t>
  </si>
  <si>
    <t>Tuần làm chính</t>
  </si>
  <si>
    <t>Vai trò</t>
  </si>
  <si>
    <t>C — Booking + State Machine</t>
  </si>
  <si>
    <t>Tuần 3-4</t>
  </si>
  <si>
    <t>Lead BE, review code, ráp nối</t>
  </si>
  <si>
    <t>A — Auth + User</t>
  </si>
  <si>
    <t>Tuần 1-2</t>
  </si>
  <si>
    <t>Spring Security, JWT</t>
  </si>
  <si>
    <t>B — Fleet + Search</t>
  </si>
  <si>
    <t>Tuần 2-3</t>
  </si>
  <si>
    <t>JPA Specification, file upload</t>
  </si>
  <si>
    <t>D — Payment + Invoice</t>
  </si>
  <si>
    <t>Mock gateway, PDF export</t>
  </si>
  <si>
    <t>E + F — Check-in/out + Review/Admin</t>
  </si>
  <si>
    <t>Aggregate query, Excel export</t>
  </si>
  <si>
    <t>TỔNG</t>
  </si>
  <si>
    <t>TIMELINE 4 TUẦN — RENT-CITY BACKEND</t>
  </si>
  <si>
    <t>Tuần</t>
  </si>
  <si>
    <t>Mục tiêu</t>
  </si>
  <si>
    <t>TJ</t>
  </si>
  <si>
    <t>Member 4 &amp; 5</t>
  </si>
  <si>
    <t>Setup chung + Entity layer</t>
  </si>
  <si>
    <t>Setup project structure, application.yml, ExceptionHandler chung</t>
  </si>
  <si>
    <t>Spring Security config + Entity User</t>
  </si>
  <si>
    <t>Entity Car + Branch + data.sql</t>
  </si>
  <si>
    <t>M4: Entity Payment / M5: Entity Booking + Review</t>
  </si>
  <si>
    <t>Module A + B xong (cần trước cho C)</t>
  </si>
  <si>
    <t>Review PR của team, chuẩn bị code Booking</t>
  </si>
  <si>
    <t>A1-A6: Auth flow + JWT đầy đủ</t>
  </si>
  <si>
    <t>B1-B5: CRUD + Search + Pagination</t>
  </si>
  <si>
    <t>M4: nghiên cứu VNPay sandbox / M5: học Apache POI</t>
  </si>
  <si>
    <t>Module C + D (core flow)</t>
  </si>
  <si>
    <t>C1-C6: Booking + Lock + Auto-cancel</t>
  </si>
  <si>
    <t>Hỗ trợ tích hợp auth vào các API mới</t>
  </si>
  <si>
    <t>B6: Upload ảnh + hỗ trợ search</t>
  </si>
  <si>
    <t>M4: D1-D2 Payment + Gateway / M5: bắt đầu E1-E2</t>
  </si>
  <si>
    <t>Module E + F + Integration test</t>
  </si>
  <si>
    <t>C7: Admin booking + Postman collection chung</t>
  </si>
  <si>
    <t>Bug fix + integration test Auth</t>
  </si>
  <si>
    <t>Bug fix + tối ưu search query</t>
  </si>
  <si>
    <t>M4: D3-D5 Invoice / M5: E3-E4 + F1-F4 Report</t>
  </si>
  <si>
    <t>GHI CHÚ &amp; QUY TẮC LÀM VIỆC</t>
  </si>
  <si>
    <t>🎨 Mã màu module</t>
  </si>
  <si>
    <t>Module A — Auth</t>
  </si>
  <si>
    <t>Light blue</t>
  </si>
  <si>
    <t>Module B — Fleet/Search</t>
  </si>
  <si>
    <t>Light green</t>
  </si>
  <si>
    <t>Yellow — phần khó nhất, show được khi demo</t>
  </si>
  <si>
    <t>Module D — Payment</t>
  </si>
  <si>
    <t>Light orange</t>
  </si>
  <si>
    <t>Module E — Check-in/out</t>
  </si>
  <si>
    <t>Light red</t>
  </si>
  <si>
    <t>Module F — Review/Admin</t>
  </si>
  <si>
    <t>Light purple</t>
  </si>
  <si>
    <t>📊 Trạng thái (cập nhật trong Task Tracker)</t>
  </si>
  <si>
    <t>Default</t>
  </si>
  <si>
    <t>Đang làm</t>
  </si>
  <si>
    <t>In progress</t>
  </si>
  <si>
    <t>Đang review</t>
  </si>
  <si>
    <t>Hoàn thành</t>
  </si>
  <si>
    <t>Đã merge vào develop</t>
  </si>
  <si>
    <t>Bị block</t>
  </si>
  <si>
    <t>Cần hỗ trợ</t>
  </si>
  <si>
    <t>🌳 Quy tắc Branch</t>
  </si>
  <si>
    <t>Branch naming</t>
  </si>
  <si>
    <t>feature/module-{A-F}-{tên-ngắn} — VD: feature/module-C-booking-create</t>
  </si>
  <si>
    <t>PR rule</t>
  </si>
  <si>
    <t>Daily sync</t>
  </si>
  <si>
    <t>15 phút Discord/Zalo — ai bị block nói ngay</t>
  </si>
  <si>
    <t>🎯 Điểm nhấn khi demo</t>
  </si>
  <si>
    <t>Module C (Booking)</t>
  </si>
  <si>
    <t>Module A (Auth)</t>
  </si>
  <si>
    <t>Member 2 — show JWT flow, role-based access</t>
  </si>
  <si>
    <t>Module F (Report)</t>
  </si>
  <si>
    <t>Member 5 — show aggregate query + Excel export</t>
  </si>
  <si>
    <t>⚠️ Dependency map</t>
  </si>
  <si>
    <t xml:space="preserve">Module A xong → </t>
  </si>
  <si>
    <t>Tất cả module khác mới dùng được auth</t>
  </si>
  <si>
    <t xml:space="preserve">Module B xong → </t>
  </si>
  <si>
    <t>Module C mới có data xe để booking</t>
  </si>
  <si>
    <t xml:space="preserve">Module C xong → </t>
  </si>
  <si>
    <t>Module D, E, F mới có booking để xử lý</t>
  </si>
  <si>
    <t xml:space="preserve">Module C — Booking </t>
  </si>
  <si>
    <t>Member 1</t>
  </si>
  <si>
    <t>Phải có Member 1 review trước khi merge vào develop</t>
  </si>
  <si>
    <t>Member 1 present — show SQL overlap query, FOR UPDATE lock, @Scheduled auto-cancel</t>
  </si>
  <si>
    <t>PR đã submit, chờ Member 1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</si>
</sst>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i/>
      <sz val="10"/>
      <color rgb="FF1F4E78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F3FF"/>
        <bgColor rgb="FFF4F4F4"/>
      </patternFill>
    </fill>
    <fill>
      <patternFill patternType="solid">
        <fgColor rgb="FFE2F0D9"/>
        <bgColor rgb="FFE7F3FF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F4F4F4"/>
      </patternFill>
    </fill>
    <fill>
      <patternFill patternType="solid">
        <fgColor rgb="FFF4CCCC"/>
        <bgColor rgb="FFD9D2E9"/>
      </patternFill>
    </fill>
    <fill>
      <patternFill patternType="solid">
        <fgColor rgb="FFD9D2E9"/>
        <bgColor rgb="FFF4CCCC"/>
      </patternFill>
    </fill>
    <fill>
      <patternFill patternType="solid">
        <fgColor rgb="FFF4F4F4"/>
        <bgColor rgb="FFE7F3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3" borderId="0" xfId="0" applyFont="1" applyFill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4F4F4"/>
      <rgbColor rgb="FFE7F3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F0D9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zoomScaleNormal="100" workbookViewId="0">
      <pane ySplit="4" topLeftCell="A17" activePane="bottomLeft" state="frozen"/>
      <selection pane="bottomLeft" activeCell="E9" sqref="E9"/>
    </sheetView>
  </sheetViews>
  <sheetFormatPr defaultColWidth="8.6640625" defaultRowHeight="14.4" x14ac:dyDescent="0.3"/>
  <cols>
    <col min="1" max="1" width="5" customWidth="1"/>
    <col min="2" max="2" width="11" customWidth="1"/>
    <col min="3" max="3" width="8" customWidth="1"/>
    <col min="4" max="4" width="30" customWidth="1"/>
    <col min="5" max="5" width="50" customWidth="1"/>
    <col min="6" max="6" width="13" customWidth="1"/>
    <col min="7" max="7" width="12" customWidth="1"/>
    <col min="8" max="8" width="11" customWidth="1"/>
    <col min="9" max="9" width="14" customWidth="1"/>
    <col min="10" max="10" width="13" customWidth="1"/>
  </cols>
  <sheetData>
    <row r="1" spans="1:10" ht="24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spans="1:10" ht="31.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26.4" x14ac:dyDescent="0.3">
      <c r="A5" s="6">
        <v>1</v>
      </c>
      <c r="B5" s="6" t="s">
        <v>12</v>
      </c>
      <c r="C5" s="6" t="s">
        <v>13</v>
      </c>
      <c r="D5" s="7" t="s">
        <v>14</v>
      </c>
      <c r="E5" s="7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 spans="1:10" ht="39.6" x14ac:dyDescent="0.3">
      <c r="A6" s="6">
        <v>2</v>
      </c>
      <c r="B6" s="6" t="s">
        <v>12</v>
      </c>
      <c r="C6" s="6" t="s">
        <v>21</v>
      </c>
      <c r="D6" s="7" t="s">
        <v>22</v>
      </c>
      <c r="E6" s="7" t="s">
        <v>23</v>
      </c>
      <c r="F6" s="6" t="s">
        <v>16</v>
      </c>
      <c r="G6" s="6" t="s">
        <v>24</v>
      </c>
      <c r="H6" s="6" t="s">
        <v>18</v>
      </c>
      <c r="I6" s="6" t="s">
        <v>25</v>
      </c>
      <c r="J6" s="6" t="s">
        <v>20</v>
      </c>
    </row>
    <row r="7" spans="1:10" x14ac:dyDescent="0.3">
      <c r="A7" s="6">
        <v>3</v>
      </c>
      <c r="B7" s="6" t="s">
        <v>12</v>
      </c>
      <c r="C7" s="6" t="s">
        <v>26</v>
      </c>
      <c r="D7" s="7" t="s">
        <v>27</v>
      </c>
      <c r="E7" s="7" t="s">
        <v>28</v>
      </c>
      <c r="F7" s="6" t="s">
        <v>16</v>
      </c>
      <c r="G7" s="6" t="s">
        <v>29</v>
      </c>
      <c r="H7" s="6" t="s">
        <v>17</v>
      </c>
      <c r="I7" s="6" t="s">
        <v>19</v>
      </c>
      <c r="J7" s="6" t="s">
        <v>20</v>
      </c>
    </row>
    <row r="8" spans="1:10" x14ac:dyDescent="0.3">
      <c r="A8" s="6">
        <v>4</v>
      </c>
      <c r="B8" s="6" t="s">
        <v>12</v>
      </c>
      <c r="C8" s="6" t="s">
        <v>30</v>
      </c>
      <c r="D8" s="7" t="s">
        <v>31</v>
      </c>
      <c r="E8" s="7" t="s">
        <v>32</v>
      </c>
      <c r="F8" s="6" t="s">
        <v>16</v>
      </c>
      <c r="G8" s="6" t="s">
        <v>29</v>
      </c>
      <c r="H8" s="6" t="s">
        <v>17</v>
      </c>
      <c r="I8" s="6" t="s">
        <v>19</v>
      </c>
      <c r="J8" s="6" t="s">
        <v>20</v>
      </c>
    </row>
    <row r="9" spans="1:10" ht="26.4" x14ac:dyDescent="0.3">
      <c r="A9" s="6">
        <v>5</v>
      </c>
      <c r="B9" s="6" t="s">
        <v>12</v>
      </c>
      <c r="C9" s="6" t="s">
        <v>33</v>
      </c>
      <c r="D9" s="7" t="s">
        <v>34</v>
      </c>
      <c r="E9" s="7" t="s">
        <v>35</v>
      </c>
      <c r="F9" s="6" t="s">
        <v>16</v>
      </c>
      <c r="G9" s="6" t="s">
        <v>29</v>
      </c>
      <c r="H9" s="6" t="s">
        <v>36</v>
      </c>
      <c r="I9" s="6" t="s">
        <v>19</v>
      </c>
      <c r="J9" s="6" t="s">
        <v>20</v>
      </c>
    </row>
    <row r="10" spans="1:10" x14ac:dyDescent="0.3">
      <c r="A10" s="8">
        <v>6</v>
      </c>
      <c r="B10" s="8" t="s">
        <v>37</v>
      </c>
      <c r="C10" s="8" t="s">
        <v>38</v>
      </c>
      <c r="D10" s="9" t="s">
        <v>39</v>
      </c>
      <c r="E10" s="9" t="s">
        <v>40</v>
      </c>
      <c r="F10" s="8" t="s">
        <v>41</v>
      </c>
      <c r="G10" s="8" t="s">
        <v>29</v>
      </c>
      <c r="H10" s="8" t="s">
        <v>18</v>
      </c>
      <c r="I10" s="8" t="s">
        <v>19</v>
      </c>
      <c r="J10" s="8" t="s">
        <v>20</v>
      </c>
    </row>
    <row r="11" spans="1:10" x14ac:dyDescent="0.3">
      <c r="A11" s="8">
        <v>7</v>
      </c>
      <c r="B11" s="8" t="s">
        <v>37</v>
      </c>
      <c r="C11" s="8" t="s">
        <v>42</v>
      </c>
      <c r="D11" s="9" t="s">
        <v>43</v>
      </c>
      <c r="E11" s="9" t="s">
        <v>44</v>
      </c>
      <c r="F11" s="8" t="s">
        <v>41</v>
      </c>
      <c r="G11" s="8" t="s">
        <v>29</v>
      </c>
      <c r="H11" s="8" t="s">
        <v>17</v>
      </c>
      <c r="I11" s="8" t="s">
        <v>19</v>
      </c>
      <c r="J11" s="8" t="s">
        <v>20</v>
      </c>
    </row>
    <row r="12" spans="1:10" ht="26.4" x14ac:dyDescent="0.3">
      <c r="A12" s="8">
        <v>8</v>
      </c>
      <c r="B12" s="8" t="s">
        <v>37</v>
      </c>
      <c r="C12" s="8" t="s">
        <v>45</v>
      </c>
      <c r="D12" s="9" t="s">
        <v>46</v>
      </c>
      <c r="E12" s="9" t="s">
        <v>47</v>
      </c>
      <c r="F12" s="8" t="s">
        <v>41</v>
      </c>
      <c r="G12" s="8" t="s">
        <v>24</v>
      </c>
      <c r="H12" s="8" t="s">
        <v>18</v>
      </c>
      <c r="I12" s="8" t="s">
        <v>19</v>
      </c>
      <c r="J12" s="8" t="s">
        <v>20</v>
      </c>
    </row>
    <row r="13" spans="1:10" ht="26.4" x14ac:dyDescent="0.3">
      <c r="A13" s="8">
        <v>9</v>
      </c>
      <c r="B13" s="8" t="s">
        <v>37</v>
      </c>
      <c r="C13" s="8" t="s">
        <v>48</v>
      </c>
      <c r="D13" s="9" t="s">
        <v>49</v>
      </c>
      <c r="E13" s="9" t="s">
        <v>50</v>
      </c>
      <c r="F13" s="8" t="s">
        <v>41</v>
      </c>
      <c r="G13" s="8" t="s">
        <v>24</v>
      </c>
      <c r="H13" s="8" t="s">
        <v>18</v>
      </c>
      <c r="I13" s="8" t="s">
        <v>19</v>
      </c>
      <c r="J13" s="8" t="s">
        <v>20</v>
      </c>
    </row>
    <row r="14" spans="1:10" x14ac:dyDescent="0.3">
      <c r="A14" s="8">
        <v>10</v>
      </c>
      <c r="B14" s="8" t="s">
        <v>37</v>
      </c>
      <c r="C14" s="8" t="s">
        <v>51</v>
      </c>
      <c r="D14" s="9" t="s">
        <v>52</v>
      </c>
      <c r="E14" s="9" t="s">
        <v>53</v>
      </c>
      <c r="F14" s="8" t="s">
        <v>41</v>
      </c>
      <c r="G14" s="8" t="s">
        <v>17</v>
      </c>
      <c r="H14" s="8" t="s">
        <v>17</v>
      </c>
      <c r="I14" s="8" t="s">
        <v>19</v>
      </c>
      <c r="J14" s="8" t="s">
        <v>20</v>
      </c>
    </row>
    <row r="15" spans="1:10" x14ac:dyDescent="0.3">
      <c r="A15" s="8">
        <v>11</v>
      </c>
      <c r="B15" s="8" t="s">
        <v>37</v>
      </c>
      <c r="C15" s="8" t="s">
        <v>54</v>
      </c>
      <c r="D15" s="9" t="s">
        <v>55</v>
      </c>
      <c r="E15" s="9" t="s">
        <v>56</v>
      </c>
      <c r="F15" s="8" t="s">
        <v>41</v>
      </c>
      <c r="G15" s="8" t="s">
        <v>17</v>
      </c>
      <c r="H15" s="8" t="s">
        <v>36</v>
      </c>
      <c r="I15" s="8" t="s">
        <v>57</v>
      </c>
      <c r="J15" s="8" t="s">
        <v>20</v>
      </c>
    </row>
    <row r="16" spans="1:10" x14ac:dyDescent="0.3">
      <c r="A16" s="10">
        <v>12</v>
      </c>
      <c r="B16" s="10" t="s">
        <v>58</v>
      </c>
      <c r="C16" s="10" t="s">
        <v>59</v>
      </c>
      <c r="D16" s="11" t="s">
        <v>60</v>
      </c>
      <c r="E16" s="11" t="s">
        <v>61</v>
      </c>
      <c r="F16" s="10" t="s">
        <v>212</v>
      </c>
      <c r="G16" s="10" t="s">
        <v>17</v>
      </c>
      <c r="H16" s="10" t="s">
        <v>18</v>
      </c>
      <c r="I16" s="10" t="s">
        <v>57</v>
      </c>
      <c r="J16" s="10" t="s">
        <v>20</v>
      </c>
    </row>
    <row r="17" spans="1:10" ht="26.4" x14ac:dyDescent="0.3">
      <c r="A17" s="10">
        <v>13</v>
      </c>
      <c r="B17" s="10" t="s">
        <v>58</v>
      </c>
      <c r="C17" s="10" t="s">
        <v>62</v>
      </c>
      <c r="D17" s="11" t="s">
        <v>63</v>
      </c>
      <c r="E17" s="11" t="s">
        <v>64</v>
      </c>
      <c r="F17" s="10" t="s">
        <v>212</v>
      </c>
      <c r="G17" s="10" t="s">
        <v>24</v>
      </c>
      <c r="H17" s="10" t="s">
        <v>18</v>
      </c>
      <c r="I17" s="10" t="s">
        <v>57</v>
      </c>
      <c r="J17" s="10" t="s">
        <v>20</v>
      </c>
    </row>
    <row r="18" spans="1:10" ht="26.4" x14ac:dyDescent="0.3">
      <c r="A18" s="10">
        <v>14</v>
      </c>
      <c r="B18" s="10" t="s">
        <v>58</v>
      </c>
      <c r="C18" s="10" t="s">
        <v>65</v>
      </c>
      <c r="D18" s="11" t="s">
        <v>66</v>
      </c>
      <c r="E18" s="11" t="s">
        <v>67</v>
      </c>
      <c r="F18" s="10" t="s">
        <v>212</v>
      </c>
      <c r="G18" s="10" t="s">
        <v>24</v>
      </c>
      <c r="H18" s="10" t="s">
        <v>18</v>
      </c>
      <c r="I18" s="10" t="s">
        <v>57</v>
      </c>
      <c r="J18" s="10" t="s">
        <v>20</v>
      </c>
    </row>
    <row r="19" spans="1:10" ht="26.4" x14ac:dyDescent="0.3">
      <c r="A19" s="10">
        <v>15</v>
      </c>
      <c r="B19" s="10" t="s">
        <v>58</v>
      </c>
      <c r="C19" s="10" t="s">
        <v>68</v>
      </c>
      <c r="D19" s="11" t="s">
        <v>69</v>
      </c>
      <c r="E19" s="11" t="s">
        <v>70</v>
      </c>
      <c r="F19" s="10" t="s">
        <v>212</v>
      </c>
      <c r="G19" s="10" t="s">
        <v>24</v>
      </c>
      <c r="H19" s="10" t="s">
        <v>18</v>
      </c>
      <c r="I19" s="10" t="s">
        <v>57</v>
      </c>
      <c r="J19" s="10" t="s">
        <v>20</v>
      </c>
    </row>
    <row r="20" spans="1:10" ht="26.4" x14ac:dyDescent="0.3">
      <c r="A20" s="10">
        <v>16</v>
      </c>
      <c r="B20" s="10" t="s">
        <v>58</v>
      </c>
      <c r="C20" s="10" t="s">
        <v>71</v>
      </c>
      <c r="D20" s="11" t="s">
        <v>72</v>
      </c>
      <c r="E20" s="11" t="s">
        <v>73</v>
      </c>
      <c r="F20" s="10" t="s">
        <v>212</v>
      </c>
      <c r="G20" s="10" t="s">
        <v>24</v>
      </c>
      <c r="H20" s="10" t="s">
        <v>18</v>
      </c>
      <c r="I20" s="10" t="s">
        <v>57</v>
      </c>
      <c r="J20" s="10" t="s">
        <v>20</v>
      </c>
    </row>
    <row r="21" spans="1:10" x14ac:dyDescent="0.3">
      <c r="A21" s="10">
        <v>17</v>
      </c>
      <c r="B21" s="10" t="s">
        <v>58</v>
      </c>
      <c r="C21" s="10" t="s">
        <v>74</v>
      </c>
      <c r="D21" s="11" t="s">
        <v>75</v>
      </c>
      <c r="E21" s="11" t="s">
        <v>76</v>
      </c>
      <c r="F21" s="10" t="s">
        <v>212</v>
      </c>
      <c r="G21" s="10" t="s">
        <v>29</v>
      </c>
      <c r="H21" s="10" t="s">
        <v>17</v>
      </c>
      <c r="I21" s="10" t="s">
        <v>57</v>
      </c>
      <c r="J21" s="10" t="s">
        <v>20</v>
      </c>
    </row>
    <row r="22" spans="1:10" x14ac:dyDescent="0.3">
      <c r="A22" s="10">
        <v>18</v>
      </c>
      <c r="B22" s="10" t="s">
        <v>58</v>
      </c>
      <c r="C22" s="10" t="s">
        <v>77</v>
      </c>
      <c r="D22" s="11" t="s">
        <v>78</v>
      </c>
      <c r="E22" s="11" t="s">
        <v>79</v>
      </c>
      <c r="F22" s="10" t="s">
        <v>212</v>
      </c>
      <c r="G22" s="10" t="s">
        <v>17</v>
      </c>
      <c r="H22" s="10" t="s">
        <v>17</v>
      </c>
      <c r="I22" s="10" t="s">
        <v>80</v>
      </c>
      <c r="J22" s="10" t="s">
        <v>20</v>
      </c>
    </row>
    <row r="23" spans="1:10" x14ac:dyDescent="0.3">
      <c r="A23" s="12">
        <v>19</v>
      </c>
      <c r="B23" s="12" t="s">
        <v>81</v>
      </c>
      <c r="C23" s="12" t="s">
        <v>82</v>
      </c>
      <c r="D23" s="13" t="s">
        <v>83</v>
      </c>
      <c r="E23" s="13" t="s">
        <v>84</v>
      </c>
      <c r="F23" s="12" t="s">
        <v>85</v>
      </c>
      <c r="G23" s="12" t="s">
        <v>17</v>
      </c>
      <c r="H23" s="12" t="s">
        <v>18</v>
      </c>
      <c r="I23" s="12" t="s">
        <v>57</v>
      </c>
      <c r="J23" s="12" t="s">
        <v>20</v>
      </c>
    </row>
    <row r="24" spans="1:10" ht="26.4" x14ac:dyDescent="0.3">
      <c r="A24" s="12">
        <v>20</v>
      </c>
      <c r="B24" s="12" t="s">
        <v>81</v>
      </c>
      <c r="C24" s="12" t="s">
        <v>86</v>
      </c>
      <c r="D24" s="13" t="s">
        <v>87</v>
      </c>
      <c r="E24" s="13" t="s">
        <v>88</v>
      </c>
      <c r="F24" s="12" t="s">
        <v>85</v>
      </c>
      <c r="G24" s="12" t="s">
        <v>24</v>
      </c>
      <c r="H24" s="12" t="s">
        <v>18</v>
      </c>
      <c r="I24" s="12" t="s">
        <v>57</v>
      </c>
      <c r="J24" s="12" t="s">
        <v>20</v>
      </c>
    </row>
    <row r="25" spans="1:10" x14ac:dyDescent="0.3">
      <c r="A25" s="12">
        <v>21</v>
      </c>
      <c r="B25" s="12" t="s">
        <v>81</v>
      </c>
      <c r="C25" s="12" t="s">
        <v>89</v>
      </c>
      <c r="D25" s="13" t="s">
        <v>90</v>
      </c>
      <c r="E25" s="13" t="s">
        <v>91</v>
      </c>
      <c r="F25" s="12" t="s">
        <v>85</v>
      </c>
      <c r="G25" s="12" t="s">
        <v>17</v>
      </c>
      <c r="H25" s="12" t="s">
        <v>17</v>
      </c>
      <c r="I25" s="12" t="s">
        <v>80</v>
      </c>
      <c r="J25" s="12" t="s">
        <v>20</v>
      </c>
    </row>
    <row r="26" spans="1:10" ht="26.4" x14ac:dyDescent="0.3">
      <c r="A26" s="12">
        <v>22</v>
      </c>
      <c r="B26" s="12" t="s">
        <v>81</v>
      </c>
      <c r="C26" s="12" t="s">
        <v>92</v>
      </c>
      <c r="D26" s="13" t="s">
        <v>93</v>
      </c>
      <c r="E26" s="13" t="s">
        <v>94</v>
      </c>
      <c r="F26" s="12" t="s">
        <v>85</v>
      </c>
      <c r="G26" s="12" t="s">
        <v>17</v>
      </c>
      <c r="H26" s="12" t="s">
        <v>17</v>
      </c>
      <c r="I26" s="12" t="s">
        <v>80</v>
      </c>
      <c r="J26" s="12" t="s">
        <v>20</v>
      </c>
    </row>
    <row r="27" spans="1:10" x14ac:dyDescent="0.3">
      <c r="A27" s="12">
        <v>23</v>
      </c>
      <c r="B27" s="12" t="s">
        <v>81</v>
      </c>
      <c r="C27" s="12" t="s">
        <v>95</v>
      </c>
      <c r="D27" s="13" t="s">
        <v>96</v>
      </c>
      <c r="E27" s="13" t="s">
        <v>97</v>
      </c>
      <c r="F27" s="12" t="s">
        <v>85</v>
      </c>
      <c r="G27" s="12" t="s">
        <v>29</v>
      </c>
      <c r="H27" s="12" t="s">
        <v>36</v>
      </c>
      <c r="I27" s="12" t="s">
        <v>80</v>
      </c>
      <c r="J27" s="12" t="s">
        <v>20</v>
      </c>
    </row>
    <row r="28" spans="1:10" ht="26.4" x14ac:dyDescent="0.3">
      <c r="A28" s="14">
        <v>24</v>
      </c>
      <c r="B28" s="14" t="s">
        <v>98</v>
      </c>
      <c r="C28" s="14" t="s">
        <v>99</v>
      </c>
      <c r="D28" s="15" t="s">
        <v>100</v>
      </c>
      <c r="E28" s="15" t="s">
        <v>101</v>
      </c>
      <c r="F28" s="14" t="s">
        <v>102</v>
      </c>
      <c r="G28" s="14" t="s">
        <v>17</v>
      </c>
      <c r="H28" s="14" t="s">
        <v>18</v>
      </c>
      <c r="I28" s="14" t="s">
        <v>80</v>
      </c>
      <c r="J28" s="14" t="s">
        <v>20</v>
      </c>
    </row>
    <row r="29" spans="1:10" ht="26.4" x14ac:dyDescent="0.3">
      <c r="A29" s="14">
        <v>25</v>
      </c>
      <c r="B29" s="14" t="s">
        <v>98</v>
      </c>
      <c r="C29" s="14" t="s">
        <v>103</v>
      </c>
      <c r="D29" s="15" t="s">
        <v>104</v>
      </c>
      <c r="E29" s="15" t="s">
        <v>105</v>
      </c>
      <c r="F29" s="14" t="s">
        <v>102</v>
      </c>
      <c r="G29" s="14" t="s">
        <v>17</v>
      </c>
      <c r="H29" s="14" t="s">
        <v>18</v>
      </c>
      <c r="I29" s="14" t="s">
        <v>80</v>
      </c>
      <c r="J29" s="14" t="s">
        <v>20</v>
      </c>
    </row>
    <row r="30" spans="1:10" x14ac:dyDescent="0.3">
      <c r="A30" s="14">
        <v>26</v>
      </c>
      <c r="B30" s="14" t="s">
        <v>98</v>
      </c>
      <c r="C30" s="14" t="s">
        <v>106</v>
      </c>
      <c r="D30" s="15" t="s">
        <v>107</v>
      </c>
      <c r="E30" s="15" t="s">
        <v>108</v>
      </c>
      <c r="F30" s="14" t="s">
        <v>102</v>
      </c>
      <c r="G30" s="14" t="s">
        <v>29</v>
      </c>
      <c r="H30" s="14" t="s">
        <v>17</v>
      </c>
      <c r="I30" s="14" t="s">
        <v>80</v>
      </c>
      <c r="J30" s="14" t="s">
        <v>20</v>
      </c>
    </row>
    <row r="31" spans="1:10" x14ac:dyDescent="0.3">
      <c r="A31" s="14">
        <v>27</v>
      </c>
      <c r="B31" s="14" t="s">
        <v>98</v>
      </c>
      <c r="C31" s="14" t="s">
        <v>109</v>
      </c>
      <c r="D31" s="15" t="s">
        <v>110</v>
      </c>
      <c r="E31" s="15" t="s">
        <v>111</v>
      </c>
      <c r="F31" s="14" t="s">
        <v>102</v>
      </c>
      <c r="G31" s="14" t="s">
        <v>17</v>
      </c>
      <c r="H31" s="14" t="s">
        <v>17</v>
      </c>
      <c r="I31" s="14" t="s">
        <v>80</v>
      </c>
      <c r="J31" s="14" t="s">
        <v>20</v>
      </c>
    </row>
    <row r="32" spans="1:10" ht="26.4" x14ac:dyDescent="0.3">
      <c r="A32" s="16">
        <v>28</v>
      </c>
      <c r="B32" s="16" t="s">
        <v>112</v>
      </c>
      <c r="C32" s="16" t="s">
        <v>113</v>
      </c>
      <c r="D32" s="17" t="s">
        <v>114</v>
      </c>
      <c r="E32" s="17" t="s">
        <v>115</v>
      </c>
      <c r="F32" s="16" t="s">
        <v>102</v>
      </c>
      <c r="G32" s="16" t="s">
        <v>17</v>
      </c>
      <c r="H32" s="16" t="s">
        <v>17</v>
      </c>
      <c r="I32" s="16" t="s">
        <v>80</v>
      </c>
      <c r="J32" s="16" t="s">
        <v>20</v>
      </c>
    </row>
    <row r="33" spans="1:10" x14ac:dyDescent="0.3">
      <c r="A33" s="16">
        <v>29</v>
      </c>
      <c r="B33" s="16" t="s">
        <v>112</v>
      </c>
      <c r="C33" s="16" t="s">
        <v>116</v>
      </c>
      <c r="D33" s="17" t="s">
        <v>117</v>
      </c>
      <c r="E33" s="17" t="s">
        <v>118</v>
      </c>
      <c r="F33" s="16" t="s">
        <v>102</v>
      </c>
      <c r="G33" s="16" t="s">
        <v>29</v>
      </c>
      <c r="H33" s="16" t="s">
        <v>17</v>
      </c>
      <c r="I33" s="16" t="s">
        <v>80</v>
      </c>
      <c r="J33" s="16" t="s">
        <v>20</v>
      </c>
    </row>
    <row r="34" spans="1:10" x14ac:dyDescent="0.3">
      <c r="A34" s="16">
        <v>30</v>
      </c>
      <c r="B34" s="16" t="s">
        <v>112</v>
      </c>
      <c r="C34" s="16" t="s">
        <v>119</v>
      </c>
      <c r="D34" s="17" t="s">
        <v>120</v>
      </c>
      <c r="E34" s="17" t="s">
        <v>121</v>
      </c>
      <c r="F34" s="16" t="s">
        <v>102</v>
      </c>
      <c r="G34" s="16" t="s">
        <v>24</v>
      </c>
      <c r="H34" s="16" t="s">
        <v>18</v>
      </c>
      <c r="I34" s="16" t="s">
        <v>80</v>
      </c>
      <c r="J34" s="16" t="s">
        <v>20</v>
      </c>
    </row>
    <row r="35" spans="1:10" x14ac:dyDescent="0.3">
      <c r="A35" s="16">
        <v>31</v>
      </c>
      <c r="B35" s="16" t="s">
        <v>112</v>
      </c>
      <c r="C35" s="16" t="s">
        <v>122</v>
      </c>
      <c r="D35" s="17" t="s">
        <v>123</v>
      </c>
      <c r="E35" s="17" t="s">
        <v>124</v>
      </c>
      <c r="F35" s="16" t="s">
        <v>102</v>
      </c>
      <c r="G35" s="16" t="s">
        <v>17</v>
      </c>
      <c r="H35" s="16" t="s">
        <v>36</v>
      </c>
      <c r="I35" s="16" t="s">
        <v>80</v>
      </c>
      <c r="J35" s="16" t="s">
        <v>20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>
      <selection activeCell="D17" sqref="D17"/>
    </sheetView>
  </sheetViews>
  <sheetFormatPr defaultColWidth="8.6640625" defaultRowHeight="14.4" x14ac:dyDescent="0.3"/>
  <cols>
    <col min="1" max="1" width="16" customWidth="1"/>
    <col min="2" max="2" width="38" customWidth="1"/>
    <col min="3" max="4" width="14" customWidth="1"/>
    <col min="5" max="5" width="38" customWidth="1"/>
  </cols>
  <sheetData>
    <row r="1" spans="1:5" ht="17.399999999999999" customHeight="1" x14ac:dyDescent="0.3">
      <c r="A1" s="4" t="s">
        <v>125</v>
      </c>
      <c r="B1" s="4"/>
      <c r="C1" s="4"/>
      <c r="D1" s="4"/>
      <c r="E1" s="4"/>
    </row>
    <row r="3" spans="1:5" ht="27.6" x14ac:dyDescent="0.3">
      <c r="A3" s="5" t="s">
        <v>126</v>
      </c>
      <c r="B3" s="5" t="s">
        <v>127</v>
      </c>
      <c r="C3" s="5" t="s">
        <v>128</v>
      </c>
      <c r="D3" s="5" t="s">
        <v>129</v>
      </c>
      <c r="E3" s="5" t="s">
        <v>130</v>
      </c>
    </row>
    <row r="4" spans="1:5" x14ac:dyDescent="0.3">
      <c r="A4" s="18" t="s">
        <v>212</v>
      </c>
      <c r="B4" s="19" t="s">
        <v>131</v>
      </c>
      <c r="C4" s="18">
        <v>7</v>
      </c>
      <c r="D4" s="18" t="s">
        <v>132</v>
      </c>
      <c r="E4" s="19" t="s">
        <v>133</v>
      </c>
    </row>
    <row r="5" spans="1:5" x14ac:dyDescent="0.3">
      <c r="A5" s="18" t="s">
        <v>16</v>
      </c>
      <c r="B5" s="19" t="s">
        <v>134</v>
      </c>
      <c r="C5" s="18">
        <v>5</v>
      </c>
      <c r="D5" s="18" t="s">
        <v>135</v>
      </c>
      <c r="E5" s="19" t="s">
        <v>136</v>
      </c>
    </row>
    <row r="6" spans="1:5" x14ac:dyDescent="0.3">
      <c r="A6" s="18" t="s">
        <v>41</v>
      </c>
      <c r="B6" s="19" t="s">
        <v>137</v>
      </c>
      <c r="C6" s="18">
        <v>6</v>
      </c>
      <c r="D6" s="18" t="s">
        <v>138</v>
      </c>
      <c r="E6" s="19" t="s">
        <v>139</v>
      </c>
    </row>
    <row r="7" spans="1:5" x14ac:dyDescent="0.3">
      <c r="A7" s="18" t="s">
        <v>85</v>
      </c>
      <c r="B7" s="19" t="s">
        <v>140</v>
      </c>
      <c r="C7" s="18">
        <v>5</v>
      </c>
      <c r="D7" s="18" t="s">
        <v>132</v>
      </c>
      <c r="E7" s="19" t="s">
        <v>141</v>
      </c>
    </row>
    <row r="8" spans="1:5" x14ac:dyDescent="0.3">
      <c r="A8" s="18" t="s">
        <v>102</v>
      </c>
      <c r="B8" s="19" t="s">
        <v>142</v>
      </c>
      <c r="C8" s="18">
        <v>8</v>
      </c>
      <c r="D8" s="18" t="s">
        <v>80</v>
      </c>
      <c r="E8" s="19" t="s">
        <v>143</v>
      </c>
    </row>
    <row r="9" spans="1:5" x14ac:dyDescent="0.3">
      <c r="A9" s="20" t="s">
        <v>144</v>
      </c>
      <c r="B9" s="21"/>
      <c r="C9" s="22">
        <f>SUM(C4:C8)</f>
        <v>31</v>
      </c>
      <c r="D9" s="21"/>
      <c r="E9" s="21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Normal="100" workbookViewId="0">
      <selection sqref="A1:F1"/>
    </sheetView>
  </sheetViews>
  <sheetFormatPr defaultColWidth="8.6640625" defaultRowHeight="14.4" x14ac:dyDescent="0.3"/>
  <cols>
    <col min="1" max="1" width="10" customWidth="1"/>
    <col min="2" max="2" width="30" customWidth="1"/>
    <col min="3" max="5" width="32" customWidth="1"/>
    <col min="6" max="6" width="38" customWidth="1"/>
  </cols>
  <sheetData>
    <row r="1" spans="1:6" ht="17.399999999999999" customHeight="1" x14ac:dyDescent="0.3">
      <c r="A1" s="4" t="s">
        <v>145</v>
      </c>
      <c r="B1" s="4"/>
      <c r="C1" s="4"/>
      <c r="D1" s="4"/>
      <c r="E1" s="4"/>
      <c r="F1" s="4"/>
    </row>
    <row r="3" spans="1:6" x14ac:dyDescent="0.3">
      <c r="A3" s="5" t="s">
        <v>146</v>
      </c>
      <c r="B3" s="5" t="s">
        <v>147</v>
      </c>
      <c r="C3" s="5" t="s">
        <v>148</v>
      </c>
      <c r="D3" s="5" t="s">
        <v>16</v>
      </c>
      <c r="E3" s="5" t="s">
        <v>41</v>
      </c>
      <c r="F3" s="5" t="s">
        <v>149</v>
      </c>
    </row>
    <row r="4" spans="1:6" ht="75" customHeight="1" x14ac:dyDescent="0.3">
      <c r="A4" s="23" t="s">
        <v>25</v>
      </c>
      <c r="B4" s="24" t="s">
        <v>150</v>
      </c>
      <c r="C4" s="25" t="s">
        <v>151</v>
      </c>
      <c r="D4" s="25" t="s">
        <v>152</v>
      </c>
      <c r="E4" s="25" t="s">
        <v>153</v>
      </c>
      <c r="F4" s="25" t="s">
        <v>154</v>
      </c>
    </row>
    <row r="5" spans="1:6" ht="75" customHeight="1" x14ac:dyDescent="0.3">
      <c r="A5" s="26" t="s">
        <v>19</v>
      </c>
      <c r="B5" s="27" t="s">
        <v>155</v>
      </c>
      <c r="C5" s="28" t="s">
        <v>156</v>
      </c>
      <c r="D5" s="28" t="s">
        <v>157</v>
      </c>
      <c r="E5" s="28" t="s">
        <v>158</v>
      </c>
      <c r="F5" s="28" t="s">
        <v>159</v>
      </c>
    </row>
    <row r="6" spans="1:6" ht="75" customHeight="1" x14ac:dyDescent="0.3">
      <c r="A6" s="29" t="s">
        <v>57</v>
      </c>
      <c r="B6" s="30" t="s">
        <v>160</v>
      </c>
      <c r="C6" s="31" t="s">
        <v>161</v>
      </c>
      <c r="D6" s="31" t="s">
        <v>162</v>
      </c>
      <c r="E6" s="31" t="s">
        <v>163</v>
      </c>
      <c r="F6" s="31" t="s">
        <v>164</v>
      </c>
    </row>
    <row r="7" spans="1:6" ht="75" customHeight="1" x14ac:dyDescent="0.3">
      <c r="A7" s="32" t="s">
        <v>80</v>
      </c>
      <c r="B7" s="33" t="s">
        <v>165</v>
      </c>
      <c r="C7" s="34" t="s">
        <v>166</v>
      </c>
      <c r="D7" s="34" t="s">
        <v>167</v>
      </c>
      <c r="E7" s="34" t="s">
        <v>168</v>
      </c>
      <c r="F7" s="34" t="s">
        <v>169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tabSelected="1" topLeftCell="A13" zoomScaleNormal="100" workbookViewId="0">
      <selection activeCell="F19" sqref="F19"/>
    </sheetView>
  </sheetViews>
  <sheetFormatPr defaultColWidth="8.6640625" defaultRowHeight="14.4" x14ac:dyDescent="0.3"/>
  <cols>
    <col min="1" max="1" width="32" customWidth="1"/>
    <col min="2" max="2" width="65" customWidth="1"/>
  </cols>
  <sheetData>
    <row r="1" spans="1:2" ht="17.399999999999999" x14ac:dyDescent="0.3">
      <c r="A1" s="2" t="s">
        <v>170</v>
      </c>
      <c r="B1" s="2"/>
    </row>
    <row r="2" spans="1:2" x14ac:dyDescent="0.3">
      <c r="A2" s="35"/>
      <c r="B2" s="36"/>
    </row>
    <row r="3" spans="1:2" x14ac:dyDescent="0.3">
      <c r="A3" s="1" t="s">
        <v>171</v>
      </c>
      <c r="B3" s="1"/>
    </row>
    <row r="4" spans="1:2" x14ac:dyDescent="0.3">
      <c r="A4" s="35" t="s">
        <v>172</v>
      </c>
      <c r="B4" s="36" t="s">
        <v>173</v>
      </c>
    </row>
    <row r="5" spans="1:2" x14ac:dyDescent="0.3">
      <c r="A5" s="35" t="s">
        <v>174</v>
      </c>
      <c r="B5" s="36" t="s">
        <v>175</v>
      </c>
    </row>
    <row r="6" spans="1:2" x14ac:dyDescent="0.3">
      <c r="A6" s="35" t="s">
        <v>211</v>
      </c>
      <c r="B6" s="36" t="s">
        <v>176</v>
      </c>
    </row>
    <row r="7" spans="1:2" x14ac:dyDescent="0.3">
      <c r="A7" s="35" t="s">
        <v>177</v>
      </c>
      <c r="B7" s="36" t="s">
        <v>178</v>
      </c>
    </row>
    <row r="8" spans="1:2" x14ac:dyDescent="0.3">
      <c r="A8" s="35" t="s">
        <v>179</v>
      </c>
      <c r="B8" s="36" t="s">
        <v>180</v>
      </c>
    </row>
    <row r="9" spans="1:2" x14ac:dyDescent="0.3">
      <c r="A9" s="35" t="s">
        <v>181</v>
      </c>
      <c r="B9" s="36" t="s">
        <v>182</v>
      </c>
    </row>
    <row r="10" spans="1:2" x14ac:dyDescent="0.3">
      <c r="A10" s="35"/>
      <c r="B10" s="36"/>
    </row>
    <row r="11" spans="1:2" x14ac:dyDescent="0.3">
      <c r="A11" s="1" t="s">
        <v>183</v>
      </c>
      <c r="B11" s="1"/>
    </row>
    <row r="12" spans="1:2" x14ac:dyDescent="0.3">
      <c r="A12" s="35" t="s">
        <v>20</v>
      </c>
      <c r="B12" s="36" t="s">
        <v>184</v>
      </c>
    </row>
    <row r="13" spans="1:2" x14ac:dyDescent="0.3">
      <c r="A13" s="35" t="s">
        <v>185</v>
      </c>
      <c r="B13" s="36" t="s">
        <v>186</v>
      </c>
    </row>
    <row r="14" spans="1:2" x14ac:dyDescent="0.3">
      <c r="A14" s="35" t="s">
        <v>187</v>
      </c>
      <c r="B14" s="36" t="s">
        <v>215</v>
      </c>
    </row>
    <row r="15" spans="1:2" x14ac:dyDescent="0.3">
      <c r="A15" s="35" t="s">
        <v>188</v>
      </c>
      <c r="B15" s="36" t="s">
        <v>189</v>
      </c>
    </row>
    <row r="16" spans="1:2" x14ac:dyDescent="0.3">
      <c r="A16" s="35" t="s">
        <v>190</v>
      </c>
      <c r="B16" s="36" t="s">
        <v>191</v>
      </c>
    </row>
    <row r="17" spans="1:2" x14ac:dyDescent="0.3">
      <c r="A17" s="35"/>
      <c r="B17" s="36"/>
    </row>
    <row r="18" spans="1:2" x14ac:dyDescent="0.3">
      <c r="A18" s="1" t="s">
        <v>192</v>
      </c>
      <c r="B18" s="1"/>
    </row>
    <row r="19" spans="1:2" x14ac:dyDescent="0.3">
      <c r="A19" s="35" t="s">
        <v>193</v>
      </c>
      <c r="B19" s="36" t="s">
        <v>194</v>
      </c>
    </row>
    <row r="20" spans="1:2" x14ac:dyDescent="0.3">
      <c r="A20" s="35" t="s">
        <v>195</v>
      </c>
      <c r="B20" s="36" t="s">
        <v>213</v>
      </c>
    </row>
    <row r="21" spans="1:2" x14ac:dyDescent="0.3">
      <c r="A21" s="35" t="s">
        <v>196</v>
      </c>
      <c r="B21" s="36" t="s">
        <v>197</v>
      </c>
    </row>
    <row r="22" spans="1:2" x14ac:dyDescent="0.3">
      <c r="A22" s="35"/>
      <c r="B22" s="36"/>
    </row>
    <row r="23" spans="1:2" x14ac:dyDescent="0.3">
      <c r="A23" s="1" t="s">
        <v>198</v>
      </c>
      <c r="B23" s="1"/>
    </row>
    <row r="24" spans="1:2" ht="26.4" x14ac:dyDescent="0.3">
      <c r="A24" s="35" t="s">
        <v>199</v>
      </c>
      <c r="B24" s="36" t="s">
        <v>214</v>
      </c>
    </row>
    <row r="25" spans="1:2" x14ac:dyDescent="0.3">
      <c r="A25" s="35" t="s">
        <v>200</v>
      </c>
      <c r="B25" s="36" t="s">
        <v>201</v>
      </c>
    </row>
    <row r="26" spans="1:2" x14ac:dyDescent="0.3">
      <c r="A26" s="35" t="s">
        <v>202</v>
      </c>
      <c r="B26" s="36" t="s">
        <v>203</v>
      </c>
    </row>
    <row r="27" spans="1:2" x14ac:dyDescent="0.3">
      <c r="A27" s="35"/>
      <c r="B27" s="36"/>
    </row>
    <row r="28" spans="1:2" x14ac:dyDescent="0.3">
      <c r="A28" s="1" t="s">
        <v>204</v>
      </c>
      <c r="B28" s="1"/>
    </row>
    <row r="29" spans="1:2" x14ac:dyDescent="0.3">
      <c r="A29" s="35" t="s">
        <v>205</v>
      </c>
      <c r="B29" s="36" t="s">
        <v>206</v>
      </c>
    </row>
    <row r="30" spans="1:2" x14ac:dyDescent="0.3">
      <c r="A30" s="35" t="s">
        <v>207</v>
      </c>
      <c r="B30" s="36" t="s">
        <v>208</v>
      </c>
    </row>
    <row r="31" spans="1:2" x14ac:dyDescent="0.3">
      <c r="A31" s="35" t="s">
        <v>209</v>
      </c>
      <c r="B31" s="36" t="s">
        <v>210</v>
      </c>
    </row>
  </sheetData>
  <mergeCells count="6">
    <mergeCell ref="A28:B28"/>
    <mergeCell ref="A1:B1"/>
    <mergeCell ref="A3:B3"/>
    <mergeCell ref="A11:B11"/>
    <mergeCell ref="A18:B18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Tracker</vt:lpstr>
      <vt:lpstr>Theo thành viên</vt:lpstr>
      <vt:lpstr>Timeline 4 tuần</vt:lpstr>
      <vt:lpstr>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tinh nguyen</cp:lastModifiedBy>
  <cp:revision>0</cp:revision>
  <dcterms:created xsi:type="dcterms:W3CDTF">2026-05-11T13:48:04Z</dcterms:created>
  <dcterms:modified xsi:type="dcterms:W3CDTF">2026-05-11T13:52:22Z</dcterms:modified>
  <dc:language>en-US</dc:language>
</cp:coreProperties>
</file>